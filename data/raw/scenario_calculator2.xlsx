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ecloud.sharepoint.com/sites/EnviSol/Delte dokumenter/General/WP1 - Reducing impacts from PV parks on nature/"/>
    </mc:Choice>
  </mc:AlternateContent>
  <xr:revisionPtr revIDLastSave="258" documentId="8_{12DAA814-6937-4D8A-9565-891849FC8BA7}" xr6:coauthVersionLast="47" xr6:coauthVersionMax="47" xr10:uidLastSave="{03D6DDB6-DFA9-4764-A6E1-4720912A5A8D}"/>
  <bookViews>
    <workbookView xWindow="28680" yWindow="-16770" windowWidth="21840" windowHeight="37920" activeTab="1" xr2:uid="{3B9B696C-B9C5-4271-B733-8576C3284158}"/>
  </bookViews>
  <sheets>
    <sheet name="Scenario frå epost i april" sheetId="2" r:id="rId1"/>
    <sheet name="Scenario med bakkemontert kapa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F7" i="3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K3" i="3"/>
  <c r="K4" i="3" s="1"/>
  <c r="K5" i="3" s="1"/>
  <c r="K6" i="3" s="1"/>
  <c r="H3" i="3"/>
  <c r="H4" i="3" s="1"/>
  <c r="H5" i="3" s="1"/>
  <c r="H6" i="3" s="1"/>
  <c r="E3" i="3"/>
  <c r="E4" i="3" s="1"/>
  <c r="E5" i="3" s="1"/>
  <c r="C8" i="2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I7" i="2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C7" i="2"/>
  <c r="E5" i="2"/>
  <c r="E6" i="2" s="1"/>
  <c r="E7" i="2" s="1"/>
  <c r="H4" i="2"/>
  <c r="H5" i="2" s="1"/>
  <c r="H6" i="2" s="1"/>
  <c r="E4" i="2"/>
  <c r="K3" i="2"/>
  <c r="K4" i="2" s="1"/>
  <c r="K5" i="2" s="1"/>
  <c r="K6" i="2" s="1"/>
  <c r="K7" i="2" s="1"/>
  <c r="H3" i="2"/>
  <c r="E3" i="2"/>
  <c r="E6" i="3" l="1"/>
  <c r="C7" i="3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K7" i="3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E8" i="2"/>
  <c r="E9" i="2" s="1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E7" i="3" l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</calcChain>
</file>

<file path=xl/sharedStrings.xml><?xml version="1.0" encoding="utf-8"?>
<sst xmlns="http://schemas.openxmlformats.org/spreadsheetml/2006/main" count="96" uniqueCount="32">
  <si>
    <t>1 rate</t>
  </si>
  <si>
    <t>2 rate</t>
  </si>
  <si>
    <t>3 rate</t>
  </si>
  <si>
    <t>Før 2022</t>
  </si>
  <si>
    <t>Målt</t>
  </si>
  <si>
    <t>Estimert</t>
  </si>
  <si>
    <t>1 annual new capacity (MWp)</t>
  </si>
  <si>
    <t>2 annual new capacity (MWp)</t>
  </si>
  <si>
    <t>3 annual new capacity (MWp)</t>
  </si>
  <si>
    <t>1 cumulative capacity (MWp)</t>
  </si>
  <si>
    <t>2 cumulative capacity (MWp)</t>
  </si>
  <si>
    <t>3 cumulative capacity (MWp)</t>
  </si>
  <si>
    <t>Installerte bakkemonterte solkraftverk per 16.01.2026</t>
  </si>
  <si>
    <t>Furuseth</t>
  </si>
  <si>
    <t>Byggeår</t>
  </si>
  <si>
    <t>HIM</t>
  </si>
  <si>
    <t>Engene</t>
  </si>
  <si>
    <t>Buer</t>
  </si>
  <si>
    <t>Måna</t>
  </si>
  <si>
    <t>ROAF</t>
  </si>
  <si>
    <t>Før 2023</t>
  </si>
  <si>
    <t>Kile</t>
  </si>
  <si>
    <t>Ørje</t>
  </si>
  <si>
    <t>Magnormoen</t>
  </si>
  <si>
    <t>Grasmo</t>
  </si>
  <si>
    <t>Planlagte i 2026</t>
  </si>
  <si>
    <t>Nesse</t>
  </si>
  <si>
    <t>Planlagte i 2027</t>
  </si>
  <si>
    <t>Seval Skog</t>
  </si>
  <si>
    <t>Vikersund 2</t>
  </si>
  <si>
    <t>Vikersund 1</t>
  </si>
  <si>
    <t>Kapasitet (MWp)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</si>
</sst>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3FFF-16B2-45CA-9A53-018AFA10F5EA}">
  <dimension ref="A1:K31"/>
  <sheetViews>
    <sheetView workbookViewId="0">
      <selection activeCell="F47" sqref="F47"/>
    </sheetView>
  </sheetViews>
  <sheetFormatPr baseColWidth="10" defaultRowHeight="15" x14ac:dyDescent="0.25"/>
  <sheetData>
    <row r="1" spans="1:11" x14ac:dyDescent="0.25">
      <c r="C1" t="s">
        <v>6</v>
      </c>
      <c r="D1" t="s">
        <v>0</v>
      </c>
      <c r="E1" t="s">
        <v>9</v>
      </c>
      <c r="F1" t="s">
        <v>7</v>
      </c>
      <c r="G1" t="s">
        <v>1</v>
      </c>
      <c r="H1" t="s">
        <v>10</v>
      </c>
      <c r="I1" t="s">
        <v>8</v>
      </c>
      <c r="J1" t="s">
        <v>2</v>
      </c>
      <c r="K1" t="s">
        <v>11</v>
      </c>
    </row>
    <row r="2" spans="1:11" x14ac:dyDescent="0.25">
      <c r="B2" t="s">
        <v>3</v>
      </c>
      <c r="E2">
        <v>144</v>
      </c>
      <c r="H2">
        <v>144</v>
      </c>
      <c r="K2">
        <v>144</v>
      </c>
    </row>
    <row r="3" spans="1:11" x14ac:dyDescent="0.25">
      <c r="A3" t="s">
        <v>4</v>
      </c>
      <c r="B3">
        <v>2022</v>
      </c>
      <c r="C3">
        <v>155</v>
      </c>
      <c r="E3">
        <f>E2+C3</f>
        <v>299</v>
      </c>
      <c r="F3">
        <v>155</v>
      </c>
      <c r="H3">
        <f>H2+F3</f>
        <v>299</v>
      </c>
      <c r="I3">
        <v>155</v>
      </c>
      <c r="K3">
        <f>K2+I3</f>
        <v>299</v>
      </c>
    </row>
    <row r="4" spans="1:11" x14ac:dyDescent="0.25">
      <c r="A4" t="s">
        <v>4</v>
      </c>
      <c r="B4">
        <v>2023</v>
      </c>
      <c r="C4">
        <v>299</v>
      </c>
      <c r="E4">
        <f t="shared" ref="E4:E31" si="0">E3+C4</f>
        <v>598</v>
      </c>
      <c r="F4">
        <v>299</v>
      </c>
      <c r="H4">
        <f t="shared" ref="H4:H5" si="1">H3+F4</f>
        <v>598</v>
      </c>
      <c r="I4">
        <v>299</v>
      </c>
      <c r="K4">
        <f t="shared" ref="K4:K5" si="2">K3+I4</f>
        <v>598</v>
      </c>
    </row>
    <row r="5" spans="1:11" x14ac:dyDescent="0.25">
      <c r="A5" t="s">
        <v>4</v>
      </c>
      <c r="B5">
        <v>2024</v>
      </c>
      <c r="C5">
        <v>176</v>
      </c>
      <c r="D5" s="1"/>
      <c r="E5">
        <f t="shared" si="0"/>
        <v>774</v>
      </c>
      <c r="F5">
        <v>176</v>
      </c>
      <c r="G5" s="1"/>
      <c r="H5">
        <f t="shared" si="1"/>
        <v>774</v>
      </c>
      <c r="I5">
        <v>176</v>
      </c>
      <c r="J5" s="1"/>
      <c r="K5">
        <f t="shared" si="2"/>
        <v>774</v>
      </c>
    </row>
    <row r="6" spans="1:11" x14ac:dyDescent="0.25">
      <c r="A6" t="s">
        <v>4</v>
      </c>
      <c r="B6">
        <v>2025</v>
      </c>
      <c r="C6">
        <v>133</v>
      </c>
      <c r="E6">
        <f>E5+C6</f>
        <v>907</v>
      </c>
      <c r="F6">
        <v>133</v>
      </c>
      <c r="H6">
        <f>H5+F6</f>
        <v>907</v>
      </c>
      <c r="I6">
        <v>133</v>
      </c>
      <c r="K6">
        <f>K5+I6</f>
        <v>907</v>
      </c>
    </row>
    <row r="7" spans="1:11" x14ac:dyDescent="0.25">
      <c r="A7" t="s">
        <v>5</v>
      </c>
      <c r="B7">
        <v>2026</v>
      </c>
      <c r="C7">
        <f>AVERAGE(C3:C6)</f>
        <v>190.75</v>
      </c>
      <c r="E7">
        <f t="shared" si="0"/>
        <v>1097.75</v>
      </c>
      <c r="F7">
        <f>AVERAGE(F3:F6)</f>
        <v>190.75</v>
      </c>
      <c r="H7">
        <f t="shared" ref="H7:H31" si="3">H6+F7</f>
        <v>1097.75</v>
      </c>
      <c r="I7">
        <f>AVERAGE(I3:I6)</f>
        <v>190.75</v>
      </c>
      <c r="K7">
        <f t="shared" ref="K7:K31" si="4">K6+I7</f>
        <v>1097.75</v>
      </c>
    </row>
    <row r="8" spans="1:11" x14ac:dyDescent="0.25">
      <c r="A8" t="s">
        <v>5</v>
      </c>
      <c r="B8">
        <v>2027</v>
      </c>
      <c r="C8">
        <f t="shared" ref="C8:C31" si="5">C7*D8</f>
        <v>190.75</v>
      </c>
      <c r="D8">
        <v>1</v>
      </c>
      <c r="E8">
        <f t="shared" si="0"/>
        <v>1288.5</v>
      </c>
      <c r="F8">
        <f>F7*G8</f>
        <v>200.28749999999999</v>
      </c>
      <c r="G8">
        <v>1.05</v>
      </c>
      <c r="H8">
        <f t="shared" si="3"/>
        <v>1298.0374999999999</v>
      </c>
      <c r="I8">
        <f>I7*J8</f>
        <v>209.82500000000002</v>
      </c>
      <c r="J8">
        <v>1.1000000000000001</v>
      </c>
      <c r="K8">
        <f t="shared" si="4"/>
        <v>1307.575</v>
      </c>
    </row>
    <row r="9" spans="1:11" x14ac:dyDescent="0.25">
      <c r="A9" t="s">
        <v>5</v>
      </c>
      <c r="B9">
        <v>2028</v>
      </c>
      <c r="C9">
        <f t="shared" si="5"/>
        <v>190.75</v>
      </c>
      <c r="D9">
        <v>1</v>
      </c>
      <c r="E9">
        <f t="shared" si="0"/>
        <v>1479.25</v>
      </c>
      <c r="F9">
        <f t="shared" ref="F9:F31" si="6">F8*G9</f>
        <v>210.301875</v>
      </c>
      <c r="G9">
        <v>1.05</v>
      </c>
      <c r="H9">
        <f t="shared" si="3"/>
        <v>1508.339375</v>
      </c>
      <c r="I9">
        <f t="shared" ref="I9:I31" si="7">I8*J9</f>
        <v>230.80750000000003</v>
      </c>
      <c r="J9">
        <v>1.1000000000000001</v>
      </c>
      <c r="K9">
        <f t="shared" si="4"/>
        <v>1538.3825000000002</v>
      </c>
    </row>
    <row r="10" spans="1:11" x14ac:dyDescent="0.25">
      <c r="A10" t="s">
        <v>5</v>
      </c>
      <c r="B10">
        <v>2029</v>
      </c>
      <c r="C10">
        <f t="shared" si="5"/>
        <v>190.75</v>
      </c>
      <c r="D10">
        <v>1</v>
      </c>
      <c r="E10">
        <f t="shared" si="0"/>
        <v>1670</v>
      </c>
      <c r="F10">
        <f t="shared" si="6"/>
        <v>220.81696875</v>
      </c>
      <c r="G10">
        <v>1.05</v>
      </c>
      <c r="H10">
        <f t="shared" si="3"/>
        <v>1729.1563437499999</v>
      </c>
      <c r="I10">
        <f t="shared" si="7"/>
        <v>253.88825000000006</v>
      </c>
      <c r="J10">
        <v>1.1000000000000001</v>
      </c>
      <c r="K10">
        <f t="shared" si="4"/>
        <v>1792.2707500000001</v>
      </c>
    </row>
    <row r="11" spans="1:11" x14ac:dyDescent="0.25">
      <c r="A11" t="s">
        <v>5</v>
      </c>
      <c r="B11">
        <v>2030</v>
      </c>
      <c r="C11">
        <f t="shared" si="5"/>
        <v>190.75</v>
      </c>
      <c r="D11">
        <v>1</v>
      </c>
      <c r="E11">
        <f t="shared" si="0"/>
        <v>1860.75</v>
      </c>
      <c r="F11">
        <f t="shared" si="6"/>
        <v>231.85781718750002</v>
      </c>
      <c r="G11">
        <v>1.05</v>
      </c>
      <c r="H11">
        <f t="shared" si="3"/>
        <v>1961.0141609375</v>
      </c>
      <c r="I11">
        <f t="shared" si="7"/>
        <v>279.27707500000008</v>
      </c>
      <c r="J11">
        <v>1.1000000000000001</v>
      </c>
      <c r="K11">
        <f t="shared" si="4"/>
        <v>2071.5478250000001</v>
      </c>
    </row>
    <row r="12" spans="1:11" x14ac:dyDescent="0.25">
      <c r="A12" t="s">
        <v>5</v>
      </c>
      <c r="B12">
        <v>2031</v>
      </c>
      <c r="C12">
        <f t="shared" si="5"/>
        <v>190.75</v>
      </c>
      <c r="D12">
        <v>1</v>
      </c>
      <c r="E12">
        <f t="shared" si="0"/>
        <v>2051.5</v>
      </c>
      <c r="F12">
        <f t="shared" si="6"/>
        <v>243.45070804687504</v>
      </c>
      <c r="G12">
        <v>1.05</v>
      </c>
      <c r="H12">
        <f t="shared" si="3"/>
        <v>2204.4648689843752</v>
      </c>
      <c r="I12">
        <f t="shared" si="7"/>
        <v>307.20478250000014</v>
      </c>
      <c r="J12">
        <v>1.1000000000000001</v>
      </c>
      <c r="K12">
        <f t="shared" si="4"/>
        <v>2378.7526075000001</v>
      </c>
    </row>
    <row r="13" spans="1:11" x14ac:dyDescent="0.25">
      <c r="A13" t="s">
        <v>5</v>
      </c>
      <c r="B13">
        <v>2032</v>
      </c>
      <c r="C13">
        <f t="shared" si="5"/>
        <v>190.75</v>
      </c>
      <c r="D13">
        <v>1</v>
      </c>
      <c r="E13">
        <f t="shared" si="0"/>
        <v>2242.25</v>
      </c>
      <c r="F13">
        <f t="shared" si="6"/>
        <v>255.62324344921879</v>
      </c>
      <c r="G13">
        <v>1.05</v>
      </c>
      <c r="H13">
        <f t="shared" si="3"/>
        <v>2460.0881124335942</v>
      </c>
      <c r="I13">
        <f t="shared" si="7"/>
        <v>337.92526075000018</v>
      </c>
      <c r="J13">
        <v>1.1000000000000001</v>
      </c>
      <c r="K13">
        <f t="shared" si="4"/>
        <v>2716.6778682500003</v>
      </c>
    </row>
    <row r="14" spans="1:11" x14ac:dyDescent="0.25">
      <c r="A14" t="s">
        <v>5</v>
      </c>
      <c r="B14">
        <v>2033</v>
      </c>
      <c r="C14">
        <f t="shared" si="5"/>
        <v>190.75</v>
      </c>
      <c r="D14">
        <v>1</v>
      </c>
      <c r="E14">
        <f t="shared" si="0"/>
        <v>2433</v>
      </c>
      <c r="F14">
        <f t="shared" si="6"/>
        <v>268.40440562167976</v>
      </c>
      <c r="G14">
        <v>1.05</v>
      </c>
      <c r="H14">
        <f t="shared" si="3"/>
        <v>2728.4925180552741</v>
      </c>
      <c r="I14">
        <f t="shared" si="7"/>
        <v>371.71778682500025</v>
      </c>
      <c r="J14">
        <v>1.1000000000000001</v>
      </c>
      <c r="K14">
        <f t="shared" si="4"/>
        <v>3088.3956550750004</v>
      </c>
    </row>
    <row r="15" spans="1:11" x14ac:dyDescent="0.25">
      <c r="A15" t="s">
        <v>5</v>
      </c>
      <c r="B15">
        <v>2034</v>
      </c>
      <c r="C15">
        <f t="shared" si="5"/>
        <v>190.75</v>
      </c>
      <c r="D15">
        <v>1</v>
      </c>
      <c r="E15">
        <f t="shared" si="0"/>
        <v>2623.75</v>
      </c>
      <c r="F15">
        <f t="shared" si="6"/>
        <v>281.82462590276378</v>
      </c>
      <c r="G15">
        <v>1.05</v>
      </c>
      <c r="H15">
        <f t="shared" si="3"/>
        <v>3010.3171439580378</v>
      </c>
      <c r="I15">
        <f t="shared" si="7"/>
        <v>408.88956550750032</v>
      </c>
      <c r="J15">
        <v>1.1000000000000001</v>
      </c>
      <c r="K15">
        <f t="shared" si="4"/>
        <v>3497.2852205825006</v>
      </c>
    </row>
    <row r="16" spans="1:11" x14ac:dyDescent="0.25">
      <c r="A16" t="s">
        <v>5</v>
      </c>
      <c r="B16">
        <v>2035</v>
      </c>
      <c r="C16">
        <f t="shared" si="5"/>
        <v>190.75</v>
      </c>
      <c r="D16">
        <v>1</v>
      </c>
      <c r="E16">
        <f t="shared" si="0"/>
        <v>2814.5</v>
      </c>
      <c r="F16">
        <f t="shared" si="6"/>
        <v>295.91585719790197</v>
      </c>
      <c r="G16">
        <v>1.05</v>
      </c>
      <c r="H16">
        <f t="shared" si="3"/>
        <v>3306.2330011559397</v>
      </c>
      <c r="I16">
        <f t="shared" si="7"/>
        <v>449.77852205825042</v>
      </c>
      <c r="J16">
        <v>1.1000000000000001</v>
      </c>
      <c r="K16">
        <f t="shared" si="4"/>
        <v>3947.0637426407511</v>
      </c>
    </row>
    <row r="17" spans="1:11" x14ac:dyDescent="0.25">
      <c r="A17" t="s">
        <v>5</v>
      </c>
      <c r="B17">
        <v>2036</v>
      </c>
      <c r="C17">
        <f t="shared" si="5"/>
        <v>190.75</v>
      </c>
      <c r="D17">
        <v>1</v>
      </c>
      <c r="E17">
        <f t="shared" si="0"/>
        <v>3005.25</v>
      </c>
      <c r="F17">
        <f t="shared" si="6"/>
        <v>310.7116500577971</v>
      </c>
      <c r="G17">
        <v>1.05</v>
      </c>
      <c r="H17">
        <f t="shared" si="3"/>
        <v>3616.944651213737</v>
      </c>
      <c r="I17">
        <f t="shared" si="7"/>
        <v>494.75637426407548</v>
      </c>
      <c r="J17">
        <v>1.1000000000000001</v>
      </c>
      <c r="K17">
        <f t="shared" si="4"/>
        <v>4441.8201169048261</v>
      </c>
    </row>
    <row r="18" spans="1:11" x14ac:dyDescent="0.25">
      <c r="A18" t="s">
        <v>5</v>
      </c>
      <c r="B18">
        <v>2037</v>
      </c>
      <c r="C18">
        <f t="shared" si="5"/>
        <v>190.75</v>
      </c>
      <c r="D18">
        <v>1</v>
      </c>
      <c r="E18">
        <f t="shared" si="0"/>
        <v>3196</v>
      </c>
      <c r="F18">
        <f t="shared" si="6"/>
        <v>326.247232560687</v>
      </c>
      <c r="G18">
        <v>1.05</v>
      </c>
      <c r="H18">
        <f t="shared" si="3"/>
        <v>3943.1918837744238</v>
      </c>
      <c r="I18">
        <f t="shared" si="7"/>
        <v>544.23201169048309</v>
      </c>
      <c r="J18">
        <v>1.1000000000000001</v>
      </c>
      <c r="K18">
        <f t="shared" si="4"/>
        <v>4986.0521285953091</v>
      </c>
    </row>
    <row r="19" spans="1:11" x14ac:dyDescent="0.25">
      <c r="A19" t="s">
        <v>5</v>
      </c>
      <c r="B19">
        <v>2038</v>
      </c>
      <c r="C19">
        <f t="shared" si="5"/>
        <v>190.75</v>
      </c>
      <c r="D19">
        <v>1</v>
      </c>
      <c r="E19">
        <f t="shared" si="0"/>
        <v>3386.75</v>
      </c>
      <c r="F19">
        <f t="shared" si="6"/>
        <v>342.55959418872135</v>
      </c>
      <c r="G19">
        <v>1.05</v>
      </c>
      <c r="H19">
        <f t="shared" si="3"/>
        <v>4285.7514779631456</v>
      </c>
      <c r="I19">
        <f t="shared" si="7"/>
        <v>598.6552128595315</v>
      </c>
      <c r="J19">
        <v>1.1000000000000001</v>
      </c>
      <c r="K19">
        <f t="shared" si="4"/>
        <v>5584.7073414548404</v>
      </c>
    </row>
    <row r="20" spans="1:11" x14ac:dyDescent="0.25">
      <c r="A20" t="s">
        <v>5</v>
      </c>
      <c r="B20">
        <v>2039</v>
      </c>
      <c r="C20">
        <f t="shared" si="5"/>
        <v>190.75</v>
      </c>
      <c r="D20">
        <v>1</v>
      </c>
      <c r="E20">
        <f t="shared" si="0"/>
        <v>3577.5</v>
      </c>
      <c r="F20">
        <f t="shared" si="6"/>
        <v>359.68757389815744</v>
      </c>
      <c r="G20">
        <v>1.05</v>
      </c>
      <c r="H20">
        <f t="shared" si="3"/>
        <v>4645.4390518613027</v>
      </c>
      <c r="I20">
        <f t="shared" si="7"/>
        <v>658.52073414548465</v>
      </c>
      <c r="J20">
        <v>1.1000000000000001</v>
      </c>
      <c r="K20">
        <f t="shared" si="4"/>
        <v>6243.2280756003247</v>
      </c>
    </row>
    <row r="21" spans="1:11" x14ac:dyDescent="0.25">
      <c r="A21" t="s">
        <v>5</v>
      </c>
      <c r="B21">
        <v>2040</v>
      </c>
      <c r="C21">
        <f t="shared" si="5"/>
        <v>190.75</v>
      </c>
      <c r="D21">
        <v>1</v>
      </c>
      <c r="E21">
        <f t="shared" si="0"/>
        <v>3768.25</v>
      </c>
      <c r="F21">
        <f t="shared" si="6"/>
        <v>377.67195259306533</v>
      </c>
      <c r="G21">
        <v>1.05</v>
      </c>
      <c r="H21">
        <f t="shared" si="3"/>
        <v>5023.1110044543684</v>
      </c>
      <c r="I21">
        <f t="shared" si="7"/>
        <v>724.37280756003315</v>
      </c>
      <c r="J21">
        <v>1.1000000000000001</v>
      </c>
      <c r="K21">
        <f t="shared" si="4"/>
        <v>6967.6008831603576</v>
      </c>
    </row>
    <row r="22" spans="1:11" x14ac:dyDescent="0.25">
      <c r="A22" t="s">
        <v>5</v>
      </c>
      <c r="B22">
        <v>2041</v>
      </c>
      <c r="C22">
        <f t="shared" si="5"/>
        <v>190.75</v>
      </c>
      <c r="D22">
        <v>1</v>
      </c>
      <c r="E22">
        <f t="shared" si="0"/>
        <v>3959</v>
      </c>
      <c r="F22">
        <f t="shared" si="6"/>
        <v>396.55555022271864</v>
      </c>
      <c r="G22">
        <v>1.05</v>
      </c>
      <c r="H22">
        <f t="shared" si="3"/>
        <v>5419.6665546770873</v>
      </c>
      <c r="I22">
        <f t="shared" si="7"/>
        <v>796.81008831603651</v>
      </c>
      <c r="J22">
        <v>1.1000000000000001</v>
      </c>
      <c r="K22">
        <f t="shared" si="4"/>
        <v>7764.4109714763945</v>
      </c>
    </row>
    <row r="23" spans="1:11" x14ac:dyDescent="0.25">
      <c r="A23" t="s">
        <v>5</v>
      </c>
      <c r="B23">
        <v>2042</v>
      </c>
      <c r="C23">
        <f t="shared" si="5"/>
        <v>190.75</v>
      </c>
      <c r="D23">
        <v>1</v>
      </c>
      <c r="E23">
        <f t="shared" si="0"/>
        <v>4149.75</v>
      </c>
      <c r="F23">
        <f t="shared" si="6"/>
        <v>416.38332773385457</v>
      </c>
      <c r="G23">
        <v>1.05</v>
      </c>
      <c r="H23">
        <f t="shared" si="3"/>
        <v>5836.0498824109418</v>
      </c>
      <c r="I23">
        <f t="shared" si="7"/>
        <v>876.49109714764029</v>
      </c>
      <c r="J23">
        <v>1.1000000000000001</v>
      </c>
      <c r="K23">
        <f t="shared" si="4"/>
        <v>8640.9020686240347</v>
      </c>
    </row>
    <row r="24" spans="1:11" x14ac:dyDescent="0.25">
      <c r="A24" t="s">
        <v>5</v>
      </c>
      <c r="B24">
        <v>2043</v>
      </c>
      <c r="C24">
        <f t="shared" si="5"/>
        <v>190.75</v>
      </c>
      <c r="D24">
        <v>1</v>
      </c>
      <c r="E24">
        <f t="shared" si="0"/>
        <v>4340.5</v>
      </c>
      <c r="F24">
        <f t="shared" si="6"/>
        <v>437.20249412054733</v>
      </c>
      <c r="G24">
        <v>1.05</v>
      </c>
      <c r="H24">
        <f t="shared" si="3"/>
        <v>6273.2523765314891</v>
      </c>
      <c r="I24">
        <f t="shared" si="7"/>
        <v>964.1402068624044</v>
      </c>
      <c r="J24">
        <v>1.1000000000000001</v>
      </c>
      <c r="K24">
        <f t="shared" si="4"/>
        <v>9605.0422754864394</v>
      </c>
    </row>
    <row r="25" spans="1:11" x14ac:dyDescent="0.25">
      <c r="A25" t="s">
        <v>5</v>
      </c>
      <c r="B25">
        <v>2044</v>
      </c>
      <c r="C25">
        <f t="shared" si="5"/>
        <v>190.75</v>
      </c>
      <c r="D25">
        <v>1</v>
      </c>
      <c r="E25">
        <f t="shared" si="0"/>
        <v>4531.25</v>
      </c>
      <c r="F25">
        <f t="shared" si="6"/>
        <v>459.06261882657469</v>
      </c>
      <c r="G25">
        <v>1.05</v>
      </c>
      <c r="H25">
        <f t="shared" si="3"/>
        <v>6732.3149953580642</v>
      </c>
      <c r="I25">
        <f t="shared" si="7"/>
        <v>1060.554227548645</v>
      </c>
      <c r="J25">
        <v>1.1000000000000001</v>
      </c>
      <c r="K25">
        <f t="shared" si="4"/>
        <v>10665.596503035085</v>
      </c>
    </row>
    <row r="26" spans="1:11" x14ac:dyDescent="0.25">
      <c r="A26" t="s">
        <v>5</v>
      </c>
      <c r="B26">
        <v>2045</v>
      </c>
      <c r="C26">
        <f t="shared" si="5"/>
        <v>190.75</v>
      </c>
      <c r="D26">
        <v>1</v>
      </c>
      <c r="E26">
        <f t="shared" si="0"/>
        <v>4722</v>
      </c>
      <c r="F26">
        <f t="shared" si="6"/>
        <v>482.01574976790346</v>
      </c>
      <c r="G26">
        <v>1.05</v>
      </c>
      <c r="H26">
        <f t="shared" si="3"/>
        <v>7214.330745125968</v>
      </c>
      <c r="I26">
        <f t="shared" si="7"/>
        <v>1166.6096503035096</v>
      </c>
      <c r="J26">
        <v>1.1000000000000001</v>
      </c>
      <c r="K26">
        <f t="shared" si="4"/>
        <v>11832.206153338595</v>
      </c>
    </row>
    <row r="27" spans="1:11" x14ac:dyDescent="0.25">
      <c r="A27" t="s">
        <v>5</v>
      </c>
      <c r="B27">
        <v>2046</v>
      </c>
      <c r="C27">
        <f t="shared" si="5"/>
        <v>190.75</v>
      </c>
      <c r="D27">
        <v>1</v>
      </c>
      <c r="E27">
        <f t="shared" si="0"/>
        <v>4912.75</v>
      </c>
      <c r="F27">
        <f t="shared" si="6"/>
        <v>506.11653725629867</v>
      </c>
      <c r="G27">
        <v>1.05</v>
      </c>
      <c r="H27">
        <f t="shared" si="3"/>
        <v>7720.4472823822671</v>
      </c>
      <c r="I27">
        <f t="shared" si="7"/>
        <v>1283.2706153338606</v>
      </c>
      <c r="J27">
        <v>1.1000000000000001</v>
      </c>
      <c r="K27">
        <f t="shared" si="4"/>
        <v>13115.476768672455</v>
      </c>
    </row>
    <row r="28" spans="1:11" x14ac:dyDescent="0.25">
      <c r="A28" t="s">
        <v>5</v>
      </c>
      <c r="B28">
        <v>2047</v>
      </c>
      <c r="C28">
        <f t="shared" si="5"/>
        <v>190.75</v>
      </c>
      <c r="D28">
        <v>1</v>
      </c>
      <c r="E28">
        <f t="shared" si="0"/>
        <v>5103.5</v>
      </c>
      <c r="F28">
        <f t="shared" si="6"/>
        <v>531.42236411911358</v>
      </c>
      <c r="G28">
        <v>1.05</v>
      </c>
      <c r="H28">
        <f t="shared" si="3"/>
        <v>8251.86964650138</v>
      </c>
      <c r="I28">
        <f t="shared" si="7"/>
        <v>1411.5976768672467</v>
      </c>
      <c r="J28">
        <v>1.1000000000000001</v>
      </c>
      <c r="K28">
        <f t="shared" si="4"/>
        <v>14527.074445539702</v>
      </c>
    </row>
    <row r="29" spans="1:11" x14ac:dyDescent="0.25">
      <c r="A29" t="s">
        <v>5</v>
      </c>
      <c r="B29">
        <v>2048</v>
      </c>
      <c r="C29">
        <f t="shared" si="5"/>
        <v>190.75</v>
      </c>
      <c r="D29">
        <v>1</v>
      </c>
      <c r="E29">
        <f t="shared" si="0"/>
        <v>5294.25</v>
      </c>
      <c r="F29">
        <f t="shared" si="6"/>
        <v>557.99348232506929</v>
      </c>
      <c r="G29">
        <v>1.05</v>
      </c>
      <c r="H29">
        <f t="shared" si="3"/>
        <v>8809.8631288264496</v>
      </c>
      <c r="I29">
        <f t="shared" si="7"/>
        <v>1552.7574445539715</v>
      </c>
      <c r="J29">
        <v>1.1000000000000001</v>
      </c>
      <c r="K29">
        <f t="shared" si="4"/>
        <v>16079.831890093674</v>
      </c>
    </row>
    <row r="30" spans="1:11" x14ac:dyDescent="0.25">
      <c r="A30" t="s">
        <v>5</v>
      </c>
      <c r="B30">
        <v>2049</v>
      </c>
      <c r="C30">
        <f t="shared" si="5"/>
        <v>190.75</v>
      </c>
      <c r="D30">
        <v>1</v>
      </c>
      <c r="E30">
        <f t="shared" si="0"/>
        <v>5485</v>
      </c>
      <c r="F30">
        <f t="shared" si="6"/>
        <v>585.89315644132273</v>
      </c>
      <c r="G30">
        <v>1.05</v>
      </c>
      <c r="H30">
        <f t="shared" si="3"/>
        <v>9395.7562852677729</v>
      </c>
      <c r="I30">
        <f t="shared" si="7"/>
        <v>1708.0331890093687</v>
      </c>
      <c r="J30">
        <v>1.1000000000000001</v>
      </c>
      <c r="K30">
        <f t="shared" si="4"/>
        <v>17787.865079103041</v>
      </c>
    </row>
    <row r="31" spans="1:11" x14ac:dyDescent="0.25">
      <c r="A31" t="s">
        <v>5</v>
      </c>
      <c r="B31">
        <v>2050</v>
      </c>
      <c r="C31">
        <f t="shared" si="5"/>
        <v>190.75</v>
      </c>
      <c r="D31">
        <v>1</v>
      </c>
      <c r="E31">
        <f t="shared" si="0"/>
        <v>5675.75</v>
      </c>
      <c r="F31">
        <f t="shared" si="6"/>
        <v>615.18781426338887</v>
      </c>
      <c r="G31">
        <v>1.05</v>
      </c>
      <c r="H31">
        <f t="shared" si="3"/>
        <v>10010.944099531162</v>
      </c>
      <c r="I31">
        <f t="shared" si="7"/>
        <v>1878.8365079103057</v>
      </c>
      <c r="J31">
        <v>1.1000000000000001</v>
      </c>
      <c r="K31">
        <f t="shared" si="4"/>
        <v>19666.701587013347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1710-F46E-4737-A83A-764C96C30E84}">
  <dimension ref="A1:K56"/>
  <sheetViews>
    <sheetView tabSelected="1" workbookViewId="0">
      <selection activeCell="G38" sqref="G38"/>
    </sheetView>
  </sheetViews>
  <sheetFormatPr baseColWidth="10" defaultRowHeight="15" x14ac:dyDescent="0.25"/>
  <sheetData>
    <row r="1" spans="1:11" x14ac:dyDescent="0.25">
      <c r="C1" t="s">
        <v>6</v>
      </c>
      <c r="D1" t="s">
        <v>0</v>
      </c>
      <c r="E1" t="s">
        <v>9</v>
      </c>
      <c r="F1" t="s">
        <v>7</v>
      </c>
      <c r="G1" t="s">
        <v>1</v>
      </c>
      <c r="H1" t="s">
        <v>10</v>
      </c>
      <c r="I1" t="s">
        <v>8</v>
      </c>
      <c r="J1" t="s">
        <v>2</v>
      </c>
      <c r="K1" t="s">
        <v>11</v>
      </c>
    </row>
    <row r="2" spans="1:11" x14ac:dyDescent="0.25">
      <c r="B2" t="s">
        <v>20</v>
      </c>
      <c r="E2">
        <v>1</v>
      </c>
      <c r="H2">
        <v>1</v>
      </c>
      <c r="K2">
        <v>1</v>
      </c>
    </row>
    <row r="3" spans="1:11" x14ac:dyDescent="0.25">
      <c r="A3" t="s">
        <v>4</v>
      </c>
      <c r="B3">
        <v>2023</v>
      </c>
      <c r="C3">
        <v>9</v>
      </c>
      <c r="E3">
        <f>E2+C3</f>
        <v>10</v>
      </c>
      <c r="F3">
        <v>9</v>
      </c>
      <c r="H3">
        <f>H2+F3</f>
        <v>10</v>
      </c>
      <c r="I3">
        <v>9</v>
      </c>
      <c r="K3">
        <f>K2+I3</f>
        <v>10</v>
      </c>
    </row>
    <row r="4" spans="1:11" x14ac:dyDescent="0.25">
      <c r="A4" t="s">
        <v>4</v>
      </c>
      <c r="B4">
        <v>2024</v>
      </c>
      <c r="C4">
        <v>1</v>
      </c>
      <c r="E4">
        <f t="shared" ref="E4:E30" si="0">E3+C4</f>
        <v>11</v>
      </c>
      <c r="F4">
        <v>1</v>
      </c>
      <c r="H4">
        <f t="shared" ref="H4:H5" si="1">H3+F4</f>
        <v>11</v>
      </c>
      <c r="I4">
        <v>1</v>
      </c>
      <c r="K4">
        <f t="shared" ref="K4:K5" si="2">K3+I4</f>
        <v>11</v>
      </c>
    </row>
    <row r="5" spans="1:11" x14ac:dyDescent="0.25">
      <c r="A5" t="s">
        <v>4</v>
      </c>
      <c r="B5">
        <v>2025</v>
      </c>
      <c r="C5">
        <v>22</v>
      </c>
      <c r="D5" s="1"/>
      <c r="E5">
        <f t="shared" si="0"/>
        <v>33</v>
      </c>
      <c r="F5">
        <v>22</v>
      </c>
      <c r="G5" s="1"/>
      <c r="H5">
        <f t="shared" si="1"/>
        <v>33</v>
      </c>
      <c r="I5">
        <v>22</v>
      </c>
      <c r="J5" s="1"/>
      <c r="K5">
        <f t="shared" si="2"/>
        <v>33</v>
      </c>
    </row>
    <row r="6" spans="1:11" x14ac:dyDescent="0.25">
      <c r="A6" t="s">
        <v>5</v>
      </c>
      <c r="B6">
        <v>2026</v>
      </c>
      <c r="C6">
        <v>44</v>
      </c>
      <c r="E6">
        <f>E5+C6</f>
        <v>77</v>
      </c>
      <c r="F6">
        <v>44</v>
      </c>
      <c r="H6">
        <f>H5+F6</f>
        <v>77</v>
      </c>
      <c r="I6">
        <v>44</v>
      </c>
      <c r="K6">
        <f>K5+I6</f>
        <v>77</v>
      </c>
    </row>
    <row r="7" spans="1:11" x14ac:dyDescent="0.25">
      <c r="A7" t="s">
        <v>5</v>
      </c>
      <c r="B7">
        <v>2027</v>
      </c>
      <c r="C7">
        <f t="shared" ref="C7:C30" si="3">C6*D7</f>
        <v>44</v>
      </c>
      <c r="D7">
        <v>1</v>
      </c>
      <c r="E7">
        <f t="shared" si="0"/>
        <v>121</v>
      </c>
      <c r="F7">
        <f t="shared" ref="F7:F30" si="4">F6*G7</f>
        <v>48.400000000000006</v>
      </c>
      <c r="G7">
        <v>1.1000000000000001</v>
      </c>
      <c r="H7">
        <f t="shared" ref="H7:H30" si="5">H6+F7</f>
        <v>125.4</v>
      </c>
      <c r="I7">
        <f t="shared" ref="I7:I30" si="6">I6*J7</f>
        <v>52.8</v>
      </c>
      <c r="J7">
        <v>1.2</v>
      </c>
      <c r="K7">
        <f t="shared" ref="K7:K30" si="7">K6+I7</f>
        <v>129.80000000000001</v>
      </c>
    </row>
    <row r="8" spans="1:11" x14ac:dyDescent="0.25">
      <c r="A8" t="s">
        <v>5</v>
      </c>
      <c r="B8">
        <v>2028</v>
      </c>
      <c r="C8">
        <f t="shared" si="3"/>
        <v>44</v>
      </c>
      <c r="D8">
        <v>1</v>
      </c>
      <c r="E8">
        <f t="shared" si="0"/>
        <v>165</v>
      </c>
      <c r="F8">
        <f t="shared" si="4"/>
        <v>53.240000000000009</v>
      </c>
      <c r="G8">
        <v>1.1000000000000001</v>
      </c>
      <c r="H8">
        <f t="shared" si="5"/>
        <v>178.64000000000001</v>
      </c>
      <c r="I8">
        <f t="shared" si="6"/>
        <v>63.359999999999992</v>
      </c>
      <c r="J8">
        <v>1.2</v>
      </c>
      <c r="K8">
        <f t="shared" si="7"/>
        <v>193.16</v>
      </c>
    </row>
    <row r="9" spans="1:11" x14ac:dyDescent="0.25">
      <c r="A9" t="s">
        <v>5</v>
      </c>
      <c r="B9">
        <v>2029</v>
      </c>
      <c r="C9">
        <f t="shared" si="3"/>
        <v>44</v>
      </c>
      <c r="D9">
        <v>1</v>
      </c>
      <c r="E9">
        <f t="shared" si="0"/>
        <v>209</v>
      </c>
      <c r="F9">
        <f t="shared" si="4"/>
        <v>58.564000000000014</v>
      </c>
      <c r="G9">
        <v>1.1000000000000001</v>
      </c>
      <c r="H9">
        <f t="shared" si="5"/>
        <v>237.20400000000004</v>
      </c>
      <c r="I9">
        <f t="shared" si="6"/>
        <v>76.031999999999982</v>
      </c>
      <c r="J9">
        <v>1.2</v>
      </c>
      <c r="K9">
        <f t="shared" si="7"/>
        <v>269.19200000000001</v>
      </c>
    </row>
    <row r="10" spans="1:11" x14ac:dyDescent="0.25">
      <c r="A10" t="s">
        <v>5</v>
      </c>
      <c r="B10">
        <v>2030</v>
      </c>
      <c r="C10">
        <f t="shared" si="3"/>
        <v>44</v>
      </c>
      <c r="D10">
        <v>1</v>
      </c>
      <c r="E10">
        <f t="shared" si="0"/>
        <v>253</v>
      </c>
      <c r="F10">
        <f t="shared" si="4"/>
        <v>64.420400000000015</v>
      </c>
      <c r="G10">
        <v>1.1000000000000001</v>
      </c>
      <c r="H10">
        <f t="shared" si="5"/>
        <v>301.62440000000004</v>
      </c>
      <c r="I10">
        <f t="shared" si="6"/>
        <v>91.23839999999997</v>
      </c>
      <c r="J10">
        <v>1.2</v>
      </c>
      <c r="K10">
        <f t="shared" si="7"/>
        <v>360.43039999999996</v>
      </c>
    </row>
    <row r="11" spans="1:11" x14ac:dyDescent="0.25">
      <c r="A11" t="s">
        <v>5</v>
      </c>
      <c r="B11">
        <v>2031</v>
      </c>
      <c r="C11">
        <f t="shared" si="3"/>
        <v>44</v>
      </c>
      <c r="D11">
        <v>1</v>
      </c>
      <c r="E11">
        <f t="shared" si="0"/>
        <v>297</v>
      </c>
      <c r="F11">
        <f t="shared" si="4"/>
        <v>70.862440000000021</v>
      </c>
      <c r="G11">
        <v>1.1000000000000001</v>
      </c>
      <c r="H11">
        <f t="shared" si="5"/>
        <v>372.48684000000003</v>
      </c>
      <c r="I11">
        <f t="shared" si="6"/>
        <v>109.48607999999996</v>
      </c>
      <c r="J11">
        <v>1.2</v>
      </c>
      <c r="K11">
        <f t="shared" si="7"/>
        <v>469.91647999999992</v>
      </c>
    </row>
    <row r="12" spans="1:11" x14ac:dyDescent="0.25">
      <c r="A12" t="s">
        <v>5</v>
      </c>
      <c r="B12">
        <v>2032</v>
      </c>
      <c r="C12">
        <f t="shared" si="3"/>
        <v>44</v>
      </c>
      <c r="D12">
        <v>1</v>
      </c>
      <c r="E12">
        <f t="shared" si="0"/>
        <v>341</v>
      </c>
      <c r="F12">
        <f t="shared" si="4"/>
        <v>77.948684000000029</v>
      </c>
      <c r="G12">
        <v>1.1000000000000001</v>
      </c>
      <c r="H12">
        <f t="shared" si="5"/>
        <v>450.43552400000004</v>
      </c>
      <c r="I12">
        <f t="shared" si="6"/>
        <v>131.38329599999994</v>
      </c>
      <c r="J12">
        <v>1.2</v>
      </c>
      <c r="K12">
        <f t="shared" si="7"/>
        <v>601.29977599999984</v>
      </c>
    </row>
    <row r="13" spans="1:11" x14ac:dyDescent="0.25">
      <c r="A13" t="s">
        <v>5</v>
      </c>
      <c r="B13">
        <v>2033</v>
      </c>
      <c r="C13">
        <f t="shared" si="3"/>
        <v>44</v>
      </c>
      <c r="D13">
        <v>1</v>
      </c>
      <c r="E13">
        <f t="shared" si="0"/>
        <v>385</v>
      </c>
      <c r="F13">
        <f t="shared" si="4"/>
        <v>85.743552400000041</v>
      </c>
      <c r="G13">
        <v>1.1000000000000001</v>
      </c>
      <c r="H13">
        <f t="shared" si="5"/>
        <v>536.1790764000001</v>
      </c>
      <c r="I13">
        <f t="shared" si="6"/>
        <v>157.65995519999993</v>
      </c>
      <c r="J13">
        <v>1.2</v>
      </c>
      <c r="K13">
        <f t="shared" si="7"/>
        <v>758.95973119999974</v>
      </c>
    </row>
    <row r="14" spans="1:11" x14ac:dyDescent="0.25">
      <c r="A14" t="s">
        <v>5</v>
      </c>
      <c r="B14">
        <v>2034</v>
      </c>
      <c r="C14">
        <f t="shared" si="3"/>
        <v>44</v>
      </c>
      <c r="D14">
        <v>1</v>
      </c>
      <c r="E14">
        <f t="shared" si="0"/>
        <v>429</v>
      </c>
      <c r="F14">
        <f t="shared" si="4"/>
        <v>94.317907640000058</v>
      </c>
      <c r="G14">
        <v>1.1000000000000001</v>
      </c>
      <c r="H14">
        <f t="shared" si="5"/>
        <v>630.49698404000014</v>
      </c>
      <c r="I14">
        <f t="shared" si="6"/>
        <v>189.19194623999991</v>
      </c>
      <c r="J14">
        <v>1.2</v>
      </c>
      <c r="K14">
        <f t="shared" si="7"/>
        <v>948.15167743999962</v>
      </c>
    </row>
    <row r="15" spans="1:11" x14ac:dyDescent="0.25">
      <c r="A15" t="s">
        <v>5</v>
      </c>
      <c r="B15">
        <v>2035</v>
      </c>
      <c r="C15">
        <f t="shared" si="3"/>
        <v>44</v>
      </c>
      <c r="D15">
        <v>1</v>
      </c>
      <c r="E15">
        <f t="shared" si="0"/>
        <v>473</v>
      </c>
      <c r="F15">
        <f t="shared" si="4"/>
        <v>103.74969840400007</v>
      </c>
      <c r="G15">
        <v>1.1000000000000001</v>
      </c>
      <c r="H15">
        <f t="shared" si="5"/>
        <v>734.24668244400027</v>
      </c>
      <c r="I15">
        <f t="shared" si="6"/>
        <v>227.03033548799988</v>
      </c>
      <c r="J15">
        <v>1.2</v>
      </c>
      <c r="K15">
        <f t="shared" si="7"/>
        <v>1175.1820129279995</v>
      </c>
    </row>
    <row r="16" spans="1:11" x14ac:dyDescent="0.25">
      <c r="A16" t="s">
        <v>5</v>
      </c>
      <c r="B16">
        <v>2036</v>
      </c>
      <c r="C16">
        <f t="shared" si="3"/>
        <v>44</v>
      </c>
      <c r="D16">
        <v>1</v>
      </c>
      <c r="E16">
        <f t="shared" si="0"/>
        <v>517</v>
      </c>
      <c r="F16">
        <f t="shared" si="4"/>
        <v>114.12466824440008</v>
      </c>
      <c r="G16">
        <v>1.1000000000000001</v>
      </c>
      <c r="H16">
        <f t="shared" si="5"/>
        <v>848.3713506884003</v>
      </c>
      <c r="I16">
        <f t="shared" si="6"/>
        <v>272.43640258559986</v>
      </c>
      <c r="J16">
        <v>1.2</v>
      </c>
      <c r="K16">
        <f t="shared" si="7"/>
        <v>1447.6184155135993</v>
      </c>
    </row>
    <row r="17" spans="1:11" x14ac:dyDescent="0.25">
      <c r="A17" t="s">
        <v>5</v>
      </c>
      <c r="B17">
        <v>2037</v>
      </c>
      <c r="C17">
        <f t="shared" si="3"/>
        <v>44</v>
      </c>
      <c r="D17">
        <v>1</v>
      </c>
      <c r="E17">
        <f t="shared" si="0"/>
        <v>561</v>
      </c>
      <c r="F17">
        <f t="shared" si="4"/>
        <v>125.5371350688401</v>
      </c>
      <c r="G17">
        <v>1.1000000000000001</v>
      </c>
      <c r="H17">
        <f t="shared" si="5"/>
        <v>973.90848575724044</v>
      </c>
      <c r="I17">
        <f t="shared" si="6"/>
        <v>326.92368310271985</v>
      </c>
      <c r="J17">
        <v>1.2</v>
      </c>
      <c r="K17">
        <f t="shared" si="7"/>
        <v>1774.5420986163192</v>
      </c>
    </row>
    <row r="18" spans="1:11" x14ac:dyDescent="0.25">
      <c r="A18" t="s">
        <v>5</v>
      </c>
      <c r="B18">
        <v>2038</v>
      </c>
      <c r="C18">
        <f t="shared" si="3"/>
        <v>44</v>
      </c>
      <c r="D18">
        <v>1</v>
      </c>
      <c r="E18">
        <f t="shared" si="0"/>
        <v>605</v>
      </c>
      <c r="F18">
        <f t="shared" si="4"/>
        <v>138.09084857572412</v>
      </c>
      <c r="G18">
        <v>1.1000000000000001</v>
      </c>
      <c r="H18">
        <f t="shared" si="5"/>
        <v>1111.9993343329645</v>
      </c>
      <c r="I18">
        <f t="shared" si="6"/>
        <v>392.3084197232638</v>
      </c>
      <c r="J18">
        <v>1.2</v>
      </c>
      <c r="K18">
        <f t="shared" si="7"/>
        <v>2166.8505183395828</v>
      </c>
    </row>
    <row r="19" spans="1:11" x14ac:dyDescent="0.25">
      <c r="A19" t="s">
        <v>5</v>
      </c>
      <c r="B19">
        <v>2039</v>
      </c>
      <c r="C19">
        <f t="shared" si="3"/>
        <v>44</v>
      </c>
      <c r="D19">
        <v>1</v>
      </c>
      <c r="E19">
        <f t="shared" si="0"/>
        <v>649</v>
      </c>
      <c r="F19">
        <f t="shared" si="4"/>
        <v>151.89993343329655</v>
      </c>
      <c r="G19">
        <v>1.1000000000000001</v>
      </c>
      <c r="H19">
        <f t="shared" si="5"/>
        <v>1263.8992677662611</v>
      </c>
      <c r="I19">
        <f t="shared" si="6"/>
        <v>470.77010366791654</v>
      </c>
      <c r="J19">
        <v>1.2</v>
      </c>
      <c r="K19">
        <f t="shared" si="7"/>
        <v>2637.6206220074992</v>
      </c>
    </row>
    <row r="20" spans="1:11" x14ac:dyDescent="0.25">
      <c r="A20" t="s">
        <v>5</v>
      </c>
      <c r="B20">
        <v>2040</v>
      </c>
      <c r="C20">
        <f t="shared" si="3"/>
        <v>44</v>
      </c>
      <c r="D20">
        <v>1</v>
      </c>
      <c r="E20">
        <f t="shared" si="0"/>
        <v>693</v>
      </c>
      <c r="F20">
        <f t="shared" si="4"/>
        <v>167.08992677662621</v>
      </c>
      <c r="G20">
        <v>1.1000000000000001</v>
      </c>
      <c r="H20">
        <f t="shared" si="5"/>
        <v>1430.9891945428874</v>
      </c>
      <c r="I20">
        <f t="shared" si="6"/>
        <v>564.92412440149985</v>
      </c>
      <c r="J20">
        <v>1.2</v>
      </c>
      <c r="K20">
        <f t="shared" si="7"/>
        <v>3202.5447464089989</v>
      </c>
    </row>
    <row r="21" spans="1:11" x14ac:dyDescent="0.25">
      <c r="A21" t="s">
        <v>5</v>
      </c>
      <c r="B21">
        <v>2041</v>
      </c>
      <c r="C21">
        <f t="shared" si="3"/>
        <v>44</v>
      </c>
      <c r="D21">
        <v>1</v>
      </c>
      <c r="E21">
        <f t="shared" si="0"/>
        <v>737</v>
      </c>
      <c r="F21">
        <f t="shared" si="4"/>
        <v>183.79891945428886</v>
      </c>
      <c r="G21">
        <v>1.1000000000000001</v>
      </c>
      <c r="H21">
        <f t="shared" si="5"/>
        <v>1614.7881139971762</v>
      </c>
      <c r="I21">
        <f t="shared" si="6"/>
        <v>677.90894928179978</v>
      </c>
      <c r="J21">
        <v>1.2</v>
      </c>
      <c r="K21">
        <f t="shared" si="7"/>
        <v>3880.4536956907987</v>
      </c>
    </row>
    <row r="22" spans="1:11" x14ac:dyDescent="0.25">
      <c r="A22" t="s">
        <v>5</v>
      </c>
      <c r="B22">
        <v>2042</v>
      </c>
      <c r="C22">
        <f t="shared" si="3"/>
        <v>44</v>
      </c>
      <c r="D22">
        <v>1</v>
      </c>
      <c r="E22">
        <f t="shared" si="0"/>
        <v>781</v>
      </c>
      <c r="F22">
        <f t="shared" si="4"/>
        <v>202.17881139971777</v>
      </c>
      <c r="G22">
        <v>1.1000000000000001</v>
      </c>
      <c r="H22">
        <f t="shared" si="5"/>
        <v>1816.9669253968939</v>
      </c>
      <c r="I22">
        <f t="shared" si="6"/>
        <v>813.49073913815971</v>
      </c>
      <c r="J22">
        <v>1.2</v>
      </c>
      <c r="K22">
        <f t="shared" si="7"/>
        <v>4693.944434828958</v>
      </c>
    </row>
    <row r="23" spans="1:11" x14ac:dyDescent="0.25">
      <c r="A23" t="s">
        <v>5</v>
      </c>
      <c r="B23">
        <v>2043</v>
      </c>
      <c r="C23">
        <f t="shared" si="3"/>
        <v>44</v>
      </c>
      <c r="D23">
        <v>1</v>
      </c>
      <c r="E23">
        <f t="shared" si="0"/>
        <v>825</v>
      </c>
      <c r="F23">
        <f t="shared" si="4"/>
        <v>222.39669253968958</v>
      </c>
      <c r="G23">
        <v>1.1000000000000001</v>
      </c>
      <c r="H23">
        <f t="shared" si="5"/>
        <v>2039.3636179365835</v>
      </c>
      <c r="I23">
        <f t="shared" si="6"/>
        <v>976.18888696579165</v>
      </c>
      <c r="J23">
        <v>1.2</v>
      </c>
      <c r="K23">
        <f t="shared" si="7"/>
        <v>5670.1333217947495</v>
      </c>
    </row>
    <row r="24" spans="1:11" x14ac:dyDescent="0.25">
      <c r="A24" t="s">
        <v>5</v>
      </c>
      <c r="B24">
        <v>2044</v>
      </c>
      <c r="C24">
        <f t="shared" si="3"/>
        <v>44</v>
      </c>
      <c r="D24">
        <v>1</v>
      </c>
      <c r="E24">
        <f t="shared" si="0"/>
        <v>869</v>
      </c>
      <c r="F24">
        <f t="shared" si="4"/>
        <v>244.63636179365855</v>
      </c>
      <c r="G24">
        <v>1.1000000000000001</v>
      </c>
      <c r="H24">
        <f t="shared" si="5"/>
        <v>2283.9999797302421</v>
      </c>
      <c r="I24">
        <f t="shared" si="6"/>
        <v>1171.4266643589499</v>
      </c>
      <c r="J24">
        <v>1.2</v>
      </c>
      <c r="K24">
        <f t="shared" si="7"/>
        <v>6841.5599861536994</v>
      </c>
    </row>
    <row r="25" spans="1:11" x14ac:dyDescent="0.25">
      <c r="A25" t="s">
        <v>5</v>
      </c>
      <c r="B25">
        <v>2045</v>
      </c>
      <c r="C25">
        <f t="shared" si="3"/>
        <v>44</v>
      </c>
      <c r="D25">
        <v>1</v>
      </c>
      <c r="E25">
        <f t="shared" si="0"/>
        <v>913</v>
      </c>
      <c r="F25">
        <f t="shared" si="4"/>
        <v>269.09999797302441</v>
      </c>
      <c r="G25">
        <v>1.1000000000000001</v>
      </c>
      <c r="H25">
        <f t="shared" si="5"/>
        <v>2553.0999777032666</v>
      </c>
      <c r="I25">
        <f t="shared" si="6"/>
        <v>1405.7119972307398</v>
      </c>
      <c r="J25">
        <v>1.2</v>
      </c>
      <c r="K25">
        <f t="shared" si="7"/>
        <v>8247.2719833844385</v>
      </c>
    </row>
    <row r="26" spans="1:11" x14ac:dyDescent="0.25">
      <c r="A26" t="s">
        <v>5</v>
      </c>
      <c r="B26">
        <v>2046</v>
      </c>
      <c r="C26">
        <f t="shared" si="3"/>
        <v>44</v>
      </c>
      <c r="D26">
        <v>1</v>
      </c>
      <c r="E26">
        <f t="shared" si="0"/>
        <v>957</v>
      </c>
      <c r="F26">
        <f t="shared" si="4"/>
        <v>296.00999777032689</v>
      </c>
      <c r="G26">
        <v>1.1000000000000001</v>
      </c>
      <c r="H26">
        <f t="shared" si="5"/>
        <v>2849.1099754735933</v>
      </c>
      <c r="I26">
        <f t="shared" si="6"/>
        <v>1686.8543966768877</v>
      </c>
      <c r="J26">
        <v>1.2</v>
      </c>
      <c r="K26">
        <f t="shared" si="7"/>
        <v>9934.1263800613269</v>
      </c>
    </row>
    <row r="27" spans="1:11" x14ac:dyDescent="0.25">
      <c r="A27" t="s">
        <v>5</v>
      </c>
      <c r="B27">
        <v>2047</v>
      </c>
      <c r="C27">
        <f t="shared" si="3"/>
        <v>44</v>
      </c>
      <c r="D27">
        <v>1</v>
      </c>
      <c r="E27">
        <f t="shared" si="0"/>
        <v>1001</v>
      </c>
      <c r="F27">
        <f t="shared" si="4"/>
        <v>325.6109975473596</v>
      </c>
      <c r="G27">
        <v>1.1000000000000001</v>
      </c>
      <c r="H27">
        <f t="shared" si="5"/>
        <v>3174.7209730209529</v>
      </c>
      <c r="I27">
        <f t="shared" si="6"/>
        <v>2024.2252760122651</v>
      </c>
      <c r="J27">
        <v>1.2</v>
      </c>
      <c r="K27">
        <f t="shared" si="7"/>
        <v>11958.351656073592</v>
      </c>
    </row>
    <row r="28" spans="1:11" x14ac:dyDescent="0.25">
      <c r="A28" t="s">
        <v>5</v>
      </c>
      <c r="B28">
        <v>2048</v>
      </c>
      <c r="C28">
        <f t="shared" si="3"/>
        <v>44</v>
      </c>
      <c r="D28">
        <v>1</v>
      </c>
      <c r="E28">
        <f t="shared" si="0"/>
        <v>1045</v>
      </c>
      <c r="F28">
        <f t="shared" si="4"/>
        <v>358.17209730209561</v>
      </c>
      <c r="G28">
        <v>1.1000000000000001</v>
      </c>
      <c r="H28">
        <f t="shared" si="5"/>
        <v>3532.8930703230485</v>
      </c>
      <c r="I28">
        <f t="shared" si="6"/>
        <v>2429.070331214718</v>
      </c>
      <c r="J28">
        <v>1.2</v>
      </c>
      <c r="K28">
        <f t="shared" si="7"/>
        <v>14387.42198728831</v>
      </c>
    </row>
    <row r="29" spans="1:11" x14ac:dyDescent="0.25">
      <c r="A29" t="s">
        <v>5</v>
      </c>
      <c r="B29">
        <v>2049</v>
      </c>
      <c r="C29">
        <f t="shared" si="3"/>
        <v>44</v>
      </c>
      <c r="D29">
        <v>1</v>
      </c>
      <c r="E29">
        <f t="shared" si="0"/>
        <v>1089</v>
      </c>
      <c r="F29">
        <f t="shared" si="4"/>
        <v>393.98930703230519</v>
      </c>
      <c r="G29">
        <v>1.1000000000000001</v>
      </c>
      <c r="H29">
        <f t="shared" si="5"/>
        <v>3926.8823773553536</v>
      </c>
      <c r="I29">
        <f t="shared" si="6"/>
        <v>2914.8843974576616</v>
      </c>
      <c r="J29">
        <v>1.2</v>
      </c>
      <c r="K29">
        <f t="shared" si="7"/>
        <v>17302.306384745971</v>
      </c>
    </row>
    <row r="30" spans="1:11" x14ac:dyDescent="0.25">
      <c r="A30" t="s">
        <v>5</v>
      </c>
      <c r="B30">
        <v>2050</v>
      </c>
      <c r="C30">
        <f t="shared" si="3"/>
        <v>44</v>
      </c>
      <c r="D30">
        <v>1</v>
      </c>
      <c r="E30">
        <f t="shared" si="0"/>
        <v>1133</v>
      </c>
      <c r="F30">
        <f t="shared" si="4"/>
        <v>433.38823773553577</v>
      </c>
      <c r="G30">
        <v>1.1000000000000001</v>
      </c>
      <c r="H30">
        <f t="shared" si="5"/>
        <v>4360.2706150908889</v>
      </c>
      <c r="I30">
        <f t="shared" si="6"/>
        <v>3497.8612769491938</v>
      </c>
      <c r="J30">
        <v>1.2</v>
      </c>
      <c r="K30">
        <f t="shared" si="7"/>
        <v>20800.167661695166</v>
      </c>
    </row>
    <row r="38" spans="2:4" ht="90" x14ac:dyDescent="0.25">
      <c r="B38" s="2" t="s">
        <v>12</v>
      </c>
      <c r="C38" t="s">
        <v>31</v>
      </c>
      <c r="D38" t="s">
        <v>14</v>
      </c>
    </row>
    <row r="39" spans="2:4" x14ac:dyDescent="0.25">
      <c r="B39" t="s">
        <v>19</v>
      </c>
      <c r="C39">
        <v>1</v>
      </c>
      <c r="D39">
        <v>2021</v>
      </c>
    </row>
    <row r="40" spans="2:4" x14ac:dyDescent="0.25">
      <c r="B40" t="s">
        <v>30</v>
      </c>
      <c r="C40">
        <v>2</v>
      </c>
      <c r="D40">
        <v>2023</v>
      </c>
    </row>
    <row r="41" spans="2:4" x14ac:dyDescent="0.25">
      <c r="B41" t="s">
        <v>13</v>
      </c>
      <c r="C41">
        <v>7</v>
      </c>
      <c r="D41">
        <v>2023</v>
      </c>
    </row>
    <row r="42" spans="2:4" x14ac:dyDescent="0.25">
      <c r="B42" t="s">
        <v>17</v>
      </c>
      <c r="C42">
        <v>1</v>
      </c>
      <c r="D42">
        <v>2024</v>
      </c>
    </row>
    <row r="43" spans="2:4" x14ac:dyDescent="0.25">
      <c r="B43" t="s">
        <v>15</v>
      </c>
      <c r="C43">
        <v>3</v>
      </c>
      <c r="D43">
        <v>2025</v>
      </c>
    </row>
    <row r="44" spans="2:4" x14ac:dyDescent="0.25">
      <c r="B44" t="s">
        <v>16</v>
      </c>
      <c r="C44">
        <v>6</v>
      </c>
      <c r="D44">
        <v>2025</v>
      </c>
    </row>
    <row r="45" spans="2:4" x14ac:dyDescent="0.25">
      <c r="B45" t="s">
        <v>18</v>
      </c>
      <c r="C45">
        <v>5</v>
      </c>
      <c r="D45">
        <v>2025</v>
      </c>
    </row>
    <row r="46" spans="2:4" x14ac:dyDescent="0.25">
      <c r="B46" t="s">
        <v>29</v>
      </c>
      <c r="C46">
        <v>8</v>
      </c>
      <c r="D46">
        <v>2025</v>
      </c>
    </row>
    <row r="48" spans="2:4" x14ac:dyDescent="0.25">
      <c r="B48" s="3" t="s">
        <v>25</v>
      </c>
    </row>
    <row r="49" spans="2:4" x14ac:dyDescent="0.25">
      <c r="B49" t="s">
        <v>21</v>
      </c>
      <c r="C49">
        <v>7</v>
      </c>
      <c r="D49">
        <v>2026</v>
      </c>
    </row>
    <row r="50" spans="2:4" x14ac:dyDescent="0.25">
      <c r="B50" t="s">
        <v>23</v>
      </c>
      <c r="C50">
        <v>7</v>
      </c>
      <c r="D50">
        <v>2026</v>
      </c>
    </row>
    <row r="51" spans="2:4" x14ac:dyDescent="0.25">
      <c r="B51" t="s">
        <v>24</v>
      </c>
      <c r="C51">
        <v>5</v>
      </c>
      <c r="D51">
        <v>2026</v>
      </c>
    </row>
    <row r="52" spans="2:4" x14ac:dyDescent="0.25">
      <c r="B52" t="s">
        <v>22</v>
      </c>
      <c r="C52">
        <v>14</v>
      </c>
      <c r="D52">
        <v>2026</v>
      </c>
    </row>
    <row r="53" spans="2:4" x14ac:dyDescent="0.25">
      <c r="B53" t="s">
        <v>26</v>
      </c>
      <c r="C53">
        <v>11</v>
      </c>
      <c r="D53">
        <v>2026</v>
      </c>
    </row>
    <row r="55" spans="2:4" x14ac:dyDescent="0.25">
      <c r="B55" t="s">
        <v>27</v>
      </c>
    </row>
    <row r="56" spans="2:4" x14ac:dyDescent="0.25">
      <c r="B56" t="s">
        <v>28</v>
      </c>
      <c r="C56">
        <v>46</v>
      </c>
      <c r="D56">
        <v>2027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BE0715D93303A43A5519CD44011EEB6" ma:contentTypeVersion="16" ma:contentTypeDescription="Opprett et nytt dokument." ma:contentTypeScope="" ma:versionID="2e10ebc510dcd11b2854abed88cc2151">
  <xsd:schema xmlns:xsd="http://www.w3.org/2001/XMLSchema" xmlns:xs="http://www.w3.org/2001/XMLSchema" xmlns:p="http://schemas.microsoft.com/office/2006/metadata/properties" xmlns:ns2="1044762f-b7a3-4d22-a215-484d86598452" xmlns:ns3="ae2a25e6-193c-48e1-b57c-cb9bfd86a88c" targetNamespace="http://schemas.microsoft.com/office/2006/metadata/properties" ma:root="true" ma:fieldsID="fcedce261a062838021ae6d6c7dd0312" ns2:_="" ns3:_="">
    <xsd:import namespace="1044762f-b7a3-4d22-a215-484d86598452"/>
    <xsd:import namespace="ae2a25e6-193c-48e1-b57c-cb9bfd86a8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4762f-b7a3-4d22-a215-484d865984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ildemerkelapper" ma:readOnly="false" ma:fieldId="{5cf76f15-5ced-4ddc-b409-7134ff3c332f}" ma:taxonomyMulti="true" ma:sspId="05dab25a-14c2-47ab-abd4-e00fc9844b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a25e6-193c-48e1-b57c-cb9bfd86a88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bf0a2f9-33a3-4398-b3f8-d9568b325805}" ma:internalName="TaxCatchAll" ma:showField="CatchAllData" ma:web="ae2a25e6-193c-48e1-b57c-cb9bfd86a8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44762f-b7a3-4d22-a215-484d86598452">
      <Terms xmlns="http://schemas.microsoft.com/office/infopath/2007/PartnerControls"/>
    </lcf76f155ced4ddcb4097134ff3c332f>
    <TaxCatchAll xmlns="ae2a25e6-193c-48e1-b57c-cb9bfd86a88c" xsi:nil="true"/>
  </documentManagement>
</p:properties>
</file>

<file path=customXml/itemProps1.xml><?xml version="1.0" encoding="utf-8"?>
<ds:datastoreItem xmlns:ds="http://schemas.openxmlformats.org/officeDocument/2006/customXml" ds:itemID="{3B2FD89E-B2B6-4877-821E-2DEB410433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44762f-b7a3-4d22-a215-484d86598452"/>
    <ds:schemaRef ds:uri="ae2a25e6-193c-48e1-b57c-cb9bfd86a8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1D14B6-4456-46A8-9D93-CE388E6365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29065D-2434-45A0-91AB-3AAA4C8CB615}">
  <ds:schemaRefs>
    <ds:schemaRef ds:uri="http://schemas.microsoft.com/office/2006/metadata/properties"/>
    <ds:schemaRef ds:uri="http://schemas.microsoft.com/office/infopath/2007/PartnerControls"/>
    <ds:schemaRef ds:uri="1044762f-b7a3-4d22-a215-484d86598452"/>
    <ds:schemaRef ds:uri="ae2a25e6-193c-48e1-b57c-cb9bfd86a88c"/>
  </ds:schemaRefs>
</ds:datastoreItem>
</file>

<file path=docMetadata/LabelInfo.xml><?xml version="1.0" encoding="utf-8"?>
<clbl:labelList xmlns:clbl="http://schemas.microsoft.com/office/2020/mipLabelMetadata">
  <clbl:label id="{ac984a48-598b-4321-8d89-65037172a92b}" enabled="1" method="Privileged" siteId="{e448ee75-7d0e-45c3-8f50-3a8092d9baf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Scenario frå epost i april</vt:lpstr>
      <vt:lpstr>Scenario med bakkemontert kapas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Heine Nygard Riise</dc:creator>
  <cp:lastModifiedBy>Heine Nygard Riise</cp:lastModifiedBy>
  <dcterms:created xsi:type="dcterms:W3CDTF">2025-04-10T13:25:55Z</dcterms:created>
  <dcterms:modified xsi:type="dcterms:W3CDTF">2026-01-16T14:42:25Z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0x010100FBE0715D93303A43A5519CD44011EEB6</vt:lpwstr>
  </property>
  <property fmtid="{D5CDD505-2E9C-101B-9397-08002B2CF9AE}" pid="3" name="MediaServiceImageTags">
    <vt:lpwstr/>
  </property>
</Properties>
</file>